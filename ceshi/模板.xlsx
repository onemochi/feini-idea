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cicsc\[先导]\"/>
    </mc:Choice>
  </mc:AlternateContent>
  <xr:revisionPtr revIDLastSave="0" documentId="13_ncr:1_{56E75922-F4FD-44C0-932E-E24ADD8CAD19}" xr6:coauthVersionLast="47" xr6:coauthVersionMax="47" xr10:uidLastSave="{00000000-0000-0000-0000-000000000000}"/>
  <bookViews>
    <workbookView xWindow="-108" yWindow="-108" windowWidth="30936" windowHeight="16896" tabRatio="657" xr2:uid="{00000000-000D-0000-FFFF-FFFF00000000}"/>
  </bookViews>
  <sheets>
    <sheet name="采购合同 (1)" sheetId="2" r:id="rId1"/>
  </sheets>
  <definedNames>
    <definedName name="_Hlk59548196" localSheetId="0">'采购合同 (1)'!#REF!</definedName>
    <definedName name="_xlnm.Print_Area" localSheetId="0">'采购合同 (1)'!$A$1:$H$30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E14" i="2"/>
  <c r="H13" i="2"/>
  <c r="F13" i="2"/>
  <c r="E13" i="2"/>
  <c r="D13" i="2"/>
  <c r="C13" i="2"/>
  <c r="B13" i="2"/>
  <c r="G3" i="2"/>
  <c r="A16" i="2" s="1"/>
</calcChain>
</file>

<file path=xl/sharedStrings.xml><?xml version="1.0" encoding="utf-8"?>
<sst xmlns="http://schemas.openxmlformats.org/spreadsheetml/2006/main" count="44" uniqueCount="37">
  <si>
    <t>合  同</t>
  </si>
  <si>
    <t xml:space="preserve">                                 </t>
  </si>
  <si>
    <t>合同号码：</t>
  </si>
  <si>
    <t xml:space="preserve">                                  </t>
  </si>
  <si>
    <t>签约日期：</t>
  </si>
  <si>
    <t>签约地点：</t>
  </si>
  <si>
    <t>长沙市岳麓区</t>
  </si>
  <si>
    <t>买方：长沙国雨国际贸易有限责任公司</t>
  </si>
  <si>
    <t>湖南省长沙市岳麓区洋湖街道恒伟湘江时代A1栋6楼</t>
  </si>
  <si>
    <t>卖方：汇富电子科技(香港)有限公司</t>
  </si>
  <si>
    <t>RM D 10/F TOWER A BILLION CTR 1 WANG KWONG RD KOWLOON BAY KL</t>
  </si>
  <si>
    <t>经买卖双方同意，买卖双方按以下条款订立本合同：</t>
  </si>
  <si>
    <t>价格条件：FOB</t>
  </si>
  <si>
    <t>序号</t>
  </si>
  <si>
    <t>物料名称</t>
  </si>
  <si>
    <t>品牌</t>
  </si>
  <si>
    <t>规格型号</t>
  </si>
  <si>
    <t>数量</t>
  </si>
  <si>
    <t>单价</t>
  </si>
  <si>
    <t>币种</t>
  </si>
  <si>
    <t>总价</t>
  </si>
  <si>
    <t>报关品名</t>
  </si>
  <si>
    <t>单位</t>
  </si>
  <si>
    <t>原产地</t>
  </si>
  <si>
    <t>USD</t>
  </si>
  <si>
    <t>合计</t>
  </si>
  <si>
    <t>1.包装：用适合陆海空长途运输并能有效保护商品的坚固外包装，包装费用由卖方承担。</t>
  </si>
  <si>
    <r>
      <rPr>
        <sz val="14"/>
        <color rgb="FF000000"/>
        <rFont val="Microsoft YaHei Light"/>
        <family val="2"/>
      </rPr>
      <t>3.唛头：</t>
    </r>
    <r>
      <rPr>
        <u/>
        <sz val="14"/>
        <color rgb="FF000000"/>
        <rFont val="Microsoft YaHei Light"/>
        <family val="2"/>
      </rPr>
      <t xml:space="preserve">  /  </t>
    </r>
    <r>
      <rPr>
        <sz val="14"/>
        <color rgb="FF000000"/>
        <rFont val="Microsoft YaHei Light"/>
        <family val="2"/>
      </rPr>
      <t>。</t>
    </r>
  </si>
  <si>
    <t>4.装运口岸：香港 到货口岸:深圳，中国</t>
  </si>
  <si>
    <t>5.保险：由买方按发票总值110%投保一切险。</t>
  </si>
  <si>
    <t>6.付款方式：T/T</t>
  </si>
  <si>
    <t>7.质量保证:卖方保证货物用优良原材料和上乘工艺制成、全新、未经使用，并完全符合制造厂的合格标准。在正常使用和保养情况下，自货到口岸起12个月内运用良好。</t>
  </si>
  <si>
    <t>8.检验与索赔：货到口岸起90天内，若品质、型号、规格、数量、重量与合同不符，买方有权向卖方索赔。买方的索赔凭中国商检机构出具的商检证书为最后的依据。</t>
  </si>
  <si>
    <t>9.其他</t>
  </si>
  <si>
    <t>（1）本合同适用中华人民共和国法律，香港地区法律不适用。</t>
  </si>
  <si>
    <t>（2）因本合同产生的有关争议应提交至合同签订地法院诉讼解决。</t>
  </si>
  <si>
    <t>（3）本合同一式贰份，双方各持壹份，经双方盖章后生效。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</si>
</sst>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&quot;年&quot;m&quot;月&quot;d&quot;日&quot;;@"/>
    <numFmt numFmtId="177" formatCode="#,##0_ "/>
    <numFmt numFmtId="178" formatCode="#,##0.0000"/>
  </numFmts>
  <fonts count="11">
    <font>
      <sz val="11"/>
      <color theme="1"/>
      <name val="等线"/>
      <charset val="134"/>
      <scheme val="minor"/>
    </font>
    <font>
      <sz val="11"/>
      <color theme="1"/>
      <name val="Microsoft YaHei Light"/>
      <family val="1"/>
    </font>
    <font>
      <b/>
      <sz val="20"/>
      <color theme="1"/>
      <name val="宋体"/>
      <family val="3"/>
      <charset val="134"/>
    </font>
    <font>
      <sz val="14"/>
      <color rgb="FF000000"/>
      <name val="Microsoft YaHei Light"/>
      <family val="2"/>
    </font>
    <font>
      <sz val="14"/>
      <color theme="1"/>
      <name val="Microsoft YaHei Light"/>
      <family val="2"/>
    </font>
    <font>
      <b/>
      <sz val="14"/>
      <color rgb="FF000000"/>
      <name val="Microsoft YaHei Light"/>
      <family val="2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4"/>
      <color rgb="FF000000"/>
      <name val="Microsoft YaHei Light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8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177" fontId="4" fillId="0" borderId="1" xfId="8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78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  <cellStyle name="常规 5" xfId="4" xr:uid="{00000000-0005-0000-0000-000034000000}"/>
    <cellStyle name="常规 6" xfId="5" xr:uid="{00000000-0005-0000-0000-000035000000}"/>
    <cellStyle name="常规 7" xfId="6" xr:uid="{00000000-0005-0000-0000-000036000000}"/>
    <cellStyle name="常规 8" xfId="7" xr:uid="{00000000-0005-0000-0000-000037000000}"/>
    <cellStyle name="常规 9" xfId="8" xr:uid="{00000000-0005-0000-0000-000038000000}"/>
    <cellStyle name="千位分隔 10" xfId="9" xr:uid="{00000000-0005-0000-0000-000039000000}"/>
    <cellStyle name="千位分隔 11" xfId="10" xr:uid="{00000000-0005-0000-0000-00003A000000}"/>
    <cellStyle name="千位分隔 12" xfId="11" xr:uid="{00000000-0005-0000-0000-00003B000000}"/>
    <cellStyle name="千位分隔 13" xfId="12" xr:uid="{00000000-0005-0000-0000-00003C000000}"/>
    <cellStyle name="千位分隔 14" xfId="13" xr:uid="{00000000-0005-0000-0000-00003D000000}"/>
    <cellStyle name="千位分隔 15" xfId="14" xr:uid="{00000000-0005-0000-0000-00003E000000}"/>
    <cellStyle name="千位分隔 16" xfId="15" xr:uid="{00000000-0005-0000-0000-00003F000000}"/>
    <cellStyle name="千位分隔 17" xfId="16" xr:uid="{00000000-0005-0000-0000-000040000000}"/>
    <cellStyle name="千位分隔 18" xfId="17" xr:uid="{00000000-0005-0000-0000-000041000000}"/>
    <cellStyle name="千位分隔 19" xfId="18" xr:uid="{00000000-0005-0000-0000-000042000000}"/>
    <cellStyle name="千位分隔 2" xfId="19" xr:uid="{00000000-0005-0000-0000-000043000000}"/>
    <cellStyle name="千位分隔 20" xfId="20" xr:uid="{00000000-0005-0000-0000-000044000000}"/>
    <cellStyle name="千位分隔 21" xfId="21" xr:uid="{00000000-0005-0000-0000-000045000000}"/>
    <cellStyle name="千位分隔 22" xfId="22" xr:uid="{00000000-0005-0000-0000-000046000000}"/>
    <cellStyle name="千位分隔 23" xfId="23" xr:uid="{00000000-0005-0000-0000-000047000000}"/>
    <cellStyle name="千位分隔 24" xfId="24" xr:uid="{00000000-0005-0000-0000-000048000000}"/>
    <cellStyle name="千位分隔 25" xfId="25" xr:uid="{00000000-0005-0000-0000-000049000000}"/>
    <cellStyle name="千位分隔 26" xfId="26" xr:uid="{00000000-0005-0000-0000-00004A000000}"/>
    <cellStyle name="千位分隔 27" xfId="27" xr:uid="{00000000-0005-0000-0000-00004B000000}"/>
    <cellStyle name="千位分隔 28" xfId="28" xr:uid="{00000000-0005-0000-0000-00004C000000}"/>
    <cellStyle name="千位分隔 29" xfId="29" xr:uid="{00000000-0005-0000-0000-00004D000000}"/>
    <cellStyle name="千位分隔 3" xfId="30" xr:uid="{00000000-0005-0000-0000-00004E000000}"/>
    <cellStyle name="千位分隔 30" xfId="31" xr:uid="{00000000-0005-0000-0000-00004F000000}"/>
    <cellStyle name="千位分隔 31" xfId="32" xr:uid="{00000000-0005-0000-0000-000050000000}"/>
    <cellStyle name="千位分隔 32" xfId="33" xr:uid="{00000000-0005-0000-0000-000051000000}"/>
    <cellStyle name="千位分隔 33" xfId="34" xr:uid="{00000000-0005-0000-0000-000052000000}"/>
    <cellStyle name="千位分隔 34" xfId="35" xr:uid="{00000000-0005-0000-0000-000053000000}"/>
    <cellStyle name="千位分隔 35" xfId="36" xr:uid="{00000000-0005-0000-0000-000054000000}"/>
    <cellStyle name="千位分隔 36" xfId="37" xr:uid="{00000000-0005-0000-0000-000055000000}"/>
    <cellStyle name="千位分隔 37" xfId="38" xr:uid="{00000000-0005-0000-0000-000056000000}"/>
    <cellStyle name="千位分隔 38" xfId="39" xr:uid="{00000000-0005-0000-0000-000057000000}"/>
    <cellStyle name="千位分隔 39" xfId="40" xr:uid="{00000000-0005-0000-0000-000058000000}"/>
    <cellStyle name="千位分隔 4" xfId="41" xr:uid="{00000000-0005-0000-0000-000059000000}"/>
    <cellStyle name="千位分隔 40" xfId="42" xr:uid="{00000000-0005-0000-0000-00005A000000}"/>
    <cellStyle name="千位分隔 41" xfId="43" xr:uid="{00000000-0005-0000-0000-00005B000000}"/>
    <cellStyle name="千位分隔 42" xfId="44" xr:uid="{00000000-0005-0000-0000-00005C000000}"/>
    <cellStyle name="千位分隔 43" xfId="45" xr:uid="{00000000-0005-0000-0000-00005D000000}"/>
    <cellStyle name="千位分隔 44" xfId="46" xr:uid="{00000000-0005-0000-0000-00005E000000}"/>
    <cellStyle name="千位分隔 45" xfId="47" xr:uid="{00000000-0005-0000-0000-00005F000000}"/>
    <cellStyle name="千位分隔 46" xfId="48" xr:uid="{00000000-0005-0000-0000-000060000000}"/>
    <cellStyle name="千位分隔 47" xfId="49" xr:uid="{00000000-0005-0000-0000-000061000000}"/>
    <cellStyle name="千位分隔 48" xfId="50" xr:uid="{00000000-0005-0000-0000-000062000000}"/>
    <cellStyle name="千位分隔 49" xfId="51" xr:uid="{00000000-0005-0000-0000-000063000000}"/>
    <cellStyle name="千位分隔 5" xfId="52" xr:uid="{00000000-0005-0000-0000-000064000000}"/>
    <cellStyle name="千位分隔 50" xfId="53" xr:uid="{00000000-0005-0000-0000-000065000000}"/>
    <cellStyle name="千位分隔 51" xfId="54" xr:uid="{00000000-0005-0000-0000-000066000000}"/>
    <cellStyle name="千位分隔 52" xfId="55" xr:uid="{00000000-0005-0000-0000-000067000000}"/>
    <cellStyle name="千位分隔 53" xfId="56" xr:uid="{00000000-0005-0000-0000-000068000000}"/>
    <cellStyle name="千位分隔 54" xfId="57" xr:uid="{00000000-0005-0000-0000-000069000000}"/>
    <cellStyle name="千位分隔 55" xfId="58" xr:uid="{00000000-0005-0000-0000-00006A000000}"/>
    <cellStyle name="千位分隔 56" xfId="59" xr:uid="{00000000-0005-0000-0000-00006B000000}"/>
    <cellStyle name="千位分隔 57" xfId="60" xr:uid="{00000000-0005-0000-0000-00006C000000}"/>
    <cellStyle name="千位分隔 58" xfId="61" xr:uid="{00000000-0005-0000-0000-00006D000000}"/>
    <cellStyle name="千位分隔 59" xfId="62" xr:uid="{00000000-0005-0000-0000-00006E000000}"/>
    <cellStyle name="千位分隔 6" xfId="63" xr:uid="{00000000-0005-0000-0000-00006F000000}"/>
    <cellStyle name="千位分隔 60" xfId="64" xr:uid="{00000000-0005-0000-0000-000070000000}"/>
    <cellStyle name="千位分隔 61" xfId="65" xr:uid="{00000000-0005-0000-0000-000071000000}"/>
    <cellStyle name="千位分隔 62" xfId="66" xr:uid="{00000000-0005-0000-0000-000072000000}"/>
    <cellStyle name="千位分隔 63" xfId="67" xr:uid="{00000000-0005-0000-0000-000073000000}"/>
    <cellStyle name="千位分隔 64" xfId="68" xr:uid="{00000000-0005-0000-0000-000074000000}"/>
    <cellStyle name="千位分隔 65" xfId="69" xr:uid="{00000000-0005-0000-0000-000075000000}"/>
    <cellStyle name="千位分隔 66" xfId="70" xr:uid="{00000000-0005-0000-0000-000076000000}"/>
    <cellStyle name="千位分隔 67" xfId="71" xr:uid="{00000000-0005-0000-0000-000077000000}"/>
    <cellStyle name="千位分隔 68" xfId="72" xr:uid="{00000000-0005-0000-0000-000078000000}"/>
    <cellStyle name="千位分隔 69" xfId="73" xr:uid="{00000000-0005-0000-0000-000079000000}"/>
    <cellStyle name="千位分隔 7" xfId="74" xr:uid="{00000000-0005-0000-0000-00007A000000}"/>
    <cellStyle name="千位分隔 70" xfId="75" xr:uid="{00000000-0005-0000-0000-00007B000000}"/>
    <cellStyle name="千位分隔 8" xfId="76" xr:uid="{00000000-0005-0000-0000-00007C000000}"/>
    <cellStyle name="千位分隔 9" xfId="77" xr:uid="{00000000-0005-0000-0000-00007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"/>
  <sheetViews>
    <sheetView tabSelected="1" zoomScaleNormal="100" workbookViewId="0">
      <selection activeCell="M6" sqref="M6"/>
    </sheetView>
  </sheetViews>
  <sheetFormatPr defaultColWidth="8.77734375" defaultRowHeight="25.05" customHeight="1"/>
  <cols>
    <col min="1" max="1" width="11.77734375" style="1" customWidth="1"/>
    <col min="2" max="2" width="36.33203125" style="1" customWidth="1"/>
    <col min="3" max="3" width="20.21875" style="1" customWidth="1"/>
    <col min="4" max="4" width="40.44140625" style="1" customWidth="1"/>
    <col min="5" max="5" width="17.6640625" style="1" customWidth="1"/>
    <col min="6" max="6" width="14.44140625" style="1" customWidth="1"/>
    <col min="7" max="7" width="17.44140625" style="1" customWidth="1"/>
    <col min="8" max="8" width="16.77734375" style="1" customWidth="1"/>
    <col min="9" max="9" width="17.44140625" style="2" customWidth="1"/>
    <col min="10" max="10" width="3.77734375" style="2" customWidth="1"/>
    <col min="11" max="11" width="8.77734375" style="1" customWidth="1"/>
    <col min="12" max="12" width="15.21875" style="1" customWidth="1"/>
    <col min="13" max="13" width="31.88671875" style="1" customWidth="1"/>
    <col min="14" max="16384" width="8.77734375" style="1"/>
  </cols>
  <sheetData>
    <row r="1" spans="1:17" ht="25.0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17" ht="25.05" customHeight="1">
      <c r="A2" s="3" t="s">
        <v>1</v>
      </c>
      <c r="B2" s="3"/>
      <c r="C2" s="3"/>
      <c r="D2" s="3"/>
      <c r="E2" s="3"/>
      <c r="F2" s="4" t="s">
        <v>2</v>
      </c>
      <c r="G2" s="19"/>
      <c r="H2" s="19"/>
      <c r="J2" s="1"/>
    </row>
    <row r="3" spans="1:17" ht="25.05" customHeight="1">
      <c r="A3" s="3" t="s">
        <v>3</v>
      </c>
      <c r="B3" s="3"/>
      <c r="C3" s="3"/>
      <c r="D3" s="3"/>
      <c r="E3" s="3"/>
      <c r="F3" s="6" t="s">
        <v>4</v>
      </c>
      <c r="G3" s="20">
        <f ca="1">TODAY()-7</f>
        <v>46167</v>
      </c>
      <c r="H3" s="20"/>
    </row>
    <row r="4" spans="1:17" ht="25.05" customHeight="1">
      <c r="A4" s="7"/>
      <c r="B4" s="3"/>
      <c r="C4" s="3"/>
      <c r="D4" s="3"/>
      <c r="E4" s="3"/>
      <c r="F4" s="6" t="s">
        <v>5</v>
      </c>
      <c r="G4" s="21" t="s">
        <v>6</v>
      </c>
      <c r="H4" s="21"/>
    </row>
    <row r="5" spans="1:17" ht="25.05" customHeight="1">
      <c r="A5" s="5"/>
      <c r="B5" s="5"/>
      <c r="C5" s="5"/>
      <c r="D5" s="5"/>
      <c r="E5" s="5"/>
      <c r="F5" s="5"/>
      <c r="G5" s="5"/>
      <c r="H5" s="5"/>
    </row>
    <row r="6" spans="1:17" ht="25.05" customHeight="1">
      <c r="A6" s="6" t="s">
        <v>7</v>
      </c>
      <c r="B6" s="7"/>
      <c r="C6" s="6"/>
      <c r="D6" s="7"/>
      <c r="E6" s="7"/>
      <c r="F6" s="7"/>
      <c r="G6" s="7"/>
      <c r="H6" s="7"/>
    </row>
    <row r="7" spans="1:17" ht="25.05" customHeight="1">
      <c r="A7" s="6" t="s">
        <v>8</v>
      </c>
      <c r="B7" s="7"/>
      <c r="C7" s="6"/>
      <c r="D7" s="7"/>
      <c r="E7" s="7"/>
      <c r="F7" s="7"/>
      <c r="G7" s="7"/>
      <c r="H7" s="7"/>
    </row>
    <row r="8" spans="1:17" ht="25.05" customHeight="1">
      <c r="A8" s="6" t="s">
        <v>9</v>
      </c>
      <c r="B8" s="7"/>
      <c r="C8" s="7"/>
      <c r="D8" s="7"/>
      <c r="E8" s="7"/>
      <c r="F8" s="7"/>
      <c r="G8" s="7"/>
      <c r="H8" s="7"/>
    </row>
    <row r="9" spans="1:17" ht="25.05" customHeight="1">
      <c r="A9" s="7" t="s">
        <v>10</v>
      </c>
      <c r="B9" s="7"/>
      <c r="C9" s="7"/>
      <c r="D9" s="7"/>
      <c r="E9" s="7"/>
      <c r="F9" s="7"/>
      <c r="G9" s="7"/>
      <c r="H9" s="7"/>
    </row>
    <row r="10" spans="1:17" ht="25.05" customHeight="1">
      <c r="A10" s="6" t="s">
        <v>11</v>
      </c>
      <c r="B10" s="7"/>
      <c r="C10" s="7"/>
      <c r="D10" s="7"/>
      <c r="E10" s="7"/>
      <c r="F10" s="7"/>
      <c r="G10" s="7"/>
      <c r="H10" s="7"/>
    </row>
    <row r="11" spans="1:17" ht="25.05" customHeight="1">
      <c r="A11" s="6" t="s">
        <v>12</v>
      </c>
      <c r="B11" s="7"/>
      <c r="C11" s="7"/>
      <c r="D11" s="7"/>
      <c r="E11" s="7"/>
      <c r="F11" s="7"/>
      <c r="G11" s="7"/>
      <c r="H11" s="7"/>
    </row>
    <row r="12" spans="1:17" ht="25.05" customHeight="1">
      <c r="A12" s="8" t="s">
        <v>13</v>
      </c>
      <c r="B12" s="8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K12" s="9" t="s">
        <v>21</v>
      </c>
      <c r="L12" s="9" t="s">
        <v>15</v>
      </c>
      <c r="M12" s="9" t="s">
        <v>16</v>
      </c>
      <c r="N12" s="9" t="s">
        <v>22</v>
      </c>
      <c r="O12" s="9" t="s">
        <v>23</v>
      </c>
      <c r="P12" s="9" t="s">
        <v>17</v>
      </c>
      <c r="Q12" s="9" t="s">
        <v>18</v>
      </c>
    </row>
    <row r="13" spans="1:17" ht="25.05" customHeight="1">
      <c r="A13" s="10">
        <v>1</v>
      </c>
      <c r="B13" s="11">
        <f>K13</f>
        <v>0</v>
      </c>
      <c r="C13" s="11">
        <f>L13</f>
        <v>0</v>
      </c>
      <c r="D13" s="11">
        <f>M13</f>
        <v>0</v>
      </c>
      <c r="E13" s="12">
        <f>P13</f>
        <v>0</v>
      </c>
      <c r="F13" s="13">
        <f>Q13</f>
        <v>0</v>
      </c>
      <c r="G13" s="11" t="s">
        <v>24</v>
      </c>
      <c r="H13" s="11">
        <f>ROUND(E13*F13,2)</f>
        <v>0</v>
      </c>
      <c r="K13" s="14"/>
      <c r="L13" s="9"/>
      <c r="M13" s="9"/>
      <c r="N13" s="9"/>
      <c r="O13" s="14"/>
      <c r="P13" s="9"/>
      <c r="Q13" s="9"/>
    </row>
    <row r="14" spans="1:17" ht="25.05" customHeight="1">
      <c r="A14" s="10" t="s">
        <v>25</v>
      </c>
      <c r="B14" s="11"/>
      <c r="C14" s="10"/>
      <c r="D14" s="10"/>
      <c r="E14" s="12">
        <f>SUM(E13:E13)</f>
        <v>0</v>
      </c>
      <c r="F14" s="12"/>
      <c r="G14" s="11" t="s">
        <v>24</v>
      </c>
      <c r="H14" s="11">
        <f>SUM(H13:H13)</f>
        <v>0</v>
      </c>
      <c r="K14" s="15"/>
      <c r="L14" s="15"/>
      <c r="M14" s="15"/>
      <c r="N14" s="15"/>
      <c r="O14" s="15"/>
      <c r="P14" s="15"/>
      <c r="Q14" s="15"/>
    </row>
    <row r="15" spans="1:17" ht="25.05" customHeight="1">
      <c r="A15" s="6" t="s">
        <v>26</v>
      </c>
      <c r="B15" s="7"/>
      <c r="C15" s="7"/>
      <c r="D15" s="7"/>
      <c r="E15" s="7"/>
      <c r="F15" s="7"/>
      <c r="G15" s="7"/>
      <c r="H15" s="7"/>
    </row>
    <row r="16" spans="1:17" ht="25.05" customHeight="1">
      <c r="A16" s="6" t="str">
        <f ca="1">"2.交货期/装运期："&amp;TEXT(EOMONTH($G$3+10,0),"yyyy年mm月dd日")&amp;"前"</f>
        <v>2.交货期/装运期：2026年06月30日前</v>
      </c>
      <c r="B16" s="7"/>
      <c r="C16" s="7"/>
      <c r="D16" s="7"/>
      <c r="E16" s="7"/>
      <c r="F16" s="7"/>
      <c r="G16" s="7"/>
      <c r="H16" s="7"/>
    </row>
    <row r="17" spans="1:8" ht="25.05" customHeight="1">
      <c r="A17" s="6" t="s">
        <v>27</v>
      </c>
      <c r="B17" s="7"/>
      <c r="C17" s="7"/>
      <c r="D17" s="7"/>
      <c r="E17" s="7"/>
      <c r="F17" s="7"/>
      <c r="G17" s="7"/>
      <c r="H17" s="7"/>
    </row>
    <row r="18" spans="1:8" ht="25.05" customHeight="1">
      <c r="A18" s="6" t="s">
        <v>28</v>
      </c>
      <c r="B18" s="7"/>
      <c r="C18" s="7"/>
      <c r="D18" s="7"/>
      <c r="E18" s="7"/>
      <c r="F18" s="7"/>
      <c r="G18" s="7"/>
      <c r="H18" s="7"/>
    </row>
    <row r="19" spans="1:8" ht="25.05" customHeight="1">
      <c r="A19" s="6" t="s">
        <v>29</v>
      </c>
      <c r="B19" s="7"/>
      <c r="C19" s="7"/>
      <c r="D19" s="7"/>
      <c r="E19" s="7"/>
      <c r="F19" s="7"/>
      <c r="G19" s="7"/>
      <c r="H19" s="7"/>
    </row>
    <row r="20" spans="1:8" ht="25.05" customHeight="1">
      <c r="A20" s="7" t="s">
        <v>30</v>
      </c>
      <c r="B20" s="7"/>
      <c r="C20" s="7"/>
      <c r="D20" s="7"/>
      <c r="E20" s="7"/>
      <c r="F20" s="7"/>
      <c r="G20" s="7"/>
      <c r="H20" s="7"/>
    </row>
    <row r="21" spans="1:8" ht="42.6" customHeight="1">
      <c r="A21" s="17" t="s">
        <v>31</v>
      </c>
      <c r="B21" s="17"/>
      <c r="C21" s="17"/>
      <c r="D21" s="17"/>
      <c r="E21" s="17"/>
      <c r="F21" s="17"/>
      <c r="G21" s="17"/>
      <c r="H21" s="17"/>
    </row>
    <row r="22" spans="1:8" ht="46.8" customHeight="1">
      <c r="A22" s="17" t="s">
        <v>32</v>
      </c>
      <c r="B22" s="17"/>
      <c r="C22" s="17"/>
      <c r="D22" s="17"/>
      <c r="E22" s="17"/>
      <c r="F22" s="17"/>
      <c r="G22" s="17"/>
      <c r="H22" s="17"/>
    </row>
    <row r="23" spans="1:8" ht="25.05" customHeight="1">
      <c r="A23" s="6" t="s">
        <v>33</v>
      </c>
      <c r="B23" s="6"/>
      <c r="C23" s="6"/>
      <c r="D23" s="6"/>
      <c r="E23" s="6"/>
      <c r="F23" s="6"/>
      <c r="G23" s="6"/>
      <c r="H23" s="6"/>
    </row>
    <row r="24" spans="1:8" ht="25.05" customHeight="1">
      <c r="A24" s="6" t="s">
        <v>34</v>
      </c>
      <c r="B24" s="6"/>
      <c r="C24" s="6"/>
      <c r="D24" s="6"/>
      <c r="E24" s="6"/>
      <c r="F24" s="6"/>
      <c r="G24" s="6"/>
      <c r="H24" s="6"/>
    </row>
    <row r="25" spans="1:8" ht="25.05" customHeight="1">
      <c r="A25" s="6" t="s">
        <v>35</v>
      </c>
      <c r="B25" s="6"/>
      <c r="C25" s="6"/>
      <c r="D25" s="6"/>
      <c r="E25" s="6"/>
      <c r="F25" s="6"/>
      <c r="G25" s="6"/>
      <c r="H25" s="6"/>
    </row>
    <row r="26" spans="1:8" ht="25.05" customHeight="1">
      <c r="A26" s="6" t="s">
        <v>36</v>
      </c>
      <c r="B26" s="7"/>
      <c r="C26" s="7"/>
      <c r="D26" s="7"/>
      <c r="E26" s="7"/>
      <c r="F26" s="7"/>
      <c r="G26" s="7"/>
      <c r="H26" s="7"/>
    </row>
    <row r="27" spans="1:8" ht="25.05" customHeight="1">
      <c r="A27" s="6"/>
      <c r="B27" s="7"/>
      <c r="C27" s="7"/>
      <c r="D27" s="7"/>
      <c r="E27" s="7"/>
      <c r="F27" s="7"/>
      <c r="G27" s="7"/>
      <c r="H27" s="7"/>
    </row>
    <row r="28" spans="1:8" ht="25.05" customHeight="1">
      <c r="A28" s="16" t="s">
        <v>7</v>
      </c>
      <c r="B28" s="7"/>
      <c r="C28" s="7"/>
      <c r="D28" s="6"/>
      <c r="E28" s="16" t="s">
        <v>9</v>
      </c>
      <c r="F28" s="7"/>
      <c r="G28" s="7"/>
      <c r="H28" s="7"/>
    </row>
  </sheetData>
  <mergeCells count="6">
    <mergeCell ref="A22:H22"/>
    <mergeCell ref="A1:H1"/>
    <mergeCell ref="G2:H2"/>
    <mergeCell ref="G3:H3"/>
    <mergeCell ref="G4:H4"/>
    <mergeCell ref="A21:H21"/>
  </mergeCells>
  <phoneticPr fontId="10" type="noConversion"/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采购合同 (1)</vt:lpstr>
      <vt:lpstr>'采购合同 (1)'!Print_Area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观 盛 进 口 代 理 协 议 书</dc:title>
  <dc:creator>yi</dc:creator>
  <cp:lastModifiedBy>子轩 黄</cp:lastModifiedBy>
  <cp:revision>2</cp:revision>
  <cp:lastPrinted>2023-04-17T03:44:00Z</cp:lastPrinted>
  <dcterms:created xsi:type="dcterms:W3CDTF">2021-04-01T02:54:00Z</dcterms:created>
  <dcterms:modified xsi:type="dcterms:W3CDTF">2026-06-01T07:31:32Z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B22FD45C83FC47CC8E9562FBD7690749_13</vt:lpwstr>
  </property>
  <property fmtid="{D5CDD505-2E9C-101B-9397-08002B2CF9AE}" pid="4" name="CalculationRule">
    <vt:i4>0</vt:i4>
  </property>
</Properties>
</file>